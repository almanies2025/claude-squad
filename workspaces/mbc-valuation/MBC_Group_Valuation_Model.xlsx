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Comparable Companies" sheetId="2" state="visible" r:id="rId2"/>
    <sheet xmlns:r="http://schemas.openxmlformats.org/officeDocument/2006/relationships" name="Sum-of-Parts" sheetId="3" state="visible" r:id="rId3"/>
    <sheet xmlns:r="http://schemas.openxmlformats.org/officeDocument/2006/relationships" name="Valu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i val="1"/>
      <color rgb="001F497D"/>
      <sz val="9"/>
    </font>
    <font>
      <name val="Calibri"/>
      <color rgb="00404040"/>
      <sz val="10"/>
    </font>
    <font>
      <name val="Calibri"/>
      <b val="1"/>
      <color rgb="001F497D"/>
      <sz val="10"/>
    </font>
    <font>
      <name val="Calibri"/>
      <b val="1"/>
      <color rgb="00FFFFFF"/>
      <sz val="10"/>
    </font>
    <font>
      <name val="Calibri"/>
      <b val="1"/>
      <color rgb="0040404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color rgb="00CCFFCC"/>
      <sz val="10"/>
    </font>
    <font>
      <name val="Calibri"/>
      <b val="1"/>
      <color rgb="0000B050"/>
      <sz val="10"/>
    </font>
    <font>
      <name val="Calibri"/>
      <b val="1"/>
      <color rgb="00FF0000"/>
      <sz val="10"/>
    </font>
    <font>
      <name val="Calibri"/>
      <color rgb="0000B050"/>
      <sz val="10"/>
    </font>
    <font>
      <name val="Calibri"/>
      <color rgb="00FF0000"/>
      <sz val="10"/>
    </font>
    <font>
      <name val="Calibri"/>
      <b val="1"/>
      <color rgb="001F3864"/>
      <sz val="12"/>
    </font>
    <font>
      <name val="Calibri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AEEF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CCFFCC"/>
      </patternFill>
    </fill>
    <fill>
      <patternFill patternType="solid">
        <fgColor rgb="00FFE0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4" borderId="0" pivotButton="0" quotePrefix="0" xfId="0"/>
    <xf numFmtId="0" fontId="5" fillId="0" borderId="0" applyAlignment="1" pivotButton="0" quotePrefix="0" xfId="0">
      <alignment horizontal="left" indent="2"/>
    </xf>
    <xf numFmtId="164" fontId="6" fillId="4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left" indent="2"/>
    </xf>
    <xf numFmtId="165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0" fontId="8" fillId="0" borderId="0" applyAlignment="1" pivotButton="0" quotePrefix="0" xfId="0">
      <alignment horizontal="left" indent="2"/>
    </xf>
    <xf numFmtId="165" fontId="10" fillId="6" borderId="1" applyAlignment="1" pivotButton="0" quotePrefix="0" xfId="0">
      <alignment horizontal="right"/>
    </xf>
    <xf numFmtId="165" fontId="9" fillId="6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0" fontId="7" fillId="2" borderId="1" applyAlignment="1" pivotButton="0" quotePrefix="0" xfId="0">
      <alignment horizontal="center"/>
    </xf>
    <xf numFmtId="0" fontId="8" fillId="7" borderId="1" applyAlignment="1" pivotButton="0" quotePrefix="0" xfId="0">
      <alignment horizontal="left" indent="2"/>
    </xf>
    <xf numFmtId="165" fontId="5" fillId="6" borderId="1" applyAlignment="1" pivotButton="0" quotePrefix="0" xfId="0">
      <alignment horizontal="center"/>
    </xf>
    <xf numFmtId="165" fontId="6" fillId="8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left" indent="1"/>
    </xf>
    <xf numFmtId="0" fontId="5" fillId="5" borderId="1" applyAlignment="1" pivotButton="0" quotePrefix="0" xfId="0">
      <alignment horizontal="center"/>
    </xf>
    <xf numFmtId="0" fontId="11" fillId="6" borderId="1" applyAlignment="1" pivotButton="0" quotePrefix="0" xfId="0">
      <alignment horizontal="left" indent="1"/>
    </xf>
    <xf numFmtId="0" fontId="11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 indent="1"/>
    </xf>
    <xf numFmtId="0" fontId="5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13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right"/>
    </xf>
    <xf numFmtId="0" fontId="14" fillId="5" borderId="1" applyAlignment="1" pivotButton="0" quotePrefix="0" xfId="0">
      <alignment horizontal="right"/>
    </xf>
    <xf numFmtId="0" fontId="5" fillId="6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3" fontId="5" fillId="6" borderId="1" applyAlignment="1" pivotButton="0" quotePrefix="0" xfId="0">
      <alignment horizontal="right"/>
    </xf>
    <xf numFmtId="3" fontId="8" fillId="6" borderId="1" applyAlignment="1" pivotButton="0" quotePrefix="0" xfId="0">
      <alignment horizontal="right"/>
    </xf>
    <xf numFmtId="3" fontId="11" fillId="7" borderId="1" applyAlignment="1" pivotButton="0" quotePrefix="0" xfId="0">
      <alignment horizontal="right"/>
    </xf>
    <xf numFmtId="3" fontId="11" fillId="8" borderId="1" applyAlignment="1" pivotButton="0" quotePrefix="0" xfId="0">
      <alignment horizontal="right"/>
    </xf>
    <xf numFmtId="164" fontId="8" fillId="7" borderId="1" applyAlignment="1" pivotButton="0" quotePrefix="0" xfId="0">
      <alignment horizontal="right"/>
    </xf>
    <xf numFmtId="0" fontId="5" fillId="9" borderId="1" applyAlignment="1" pivotButton="0" quotePrefix="0" xfId="0">
      <alignment horizontal="left" indent="1"/>
    </xf>
    <xf numFmtId="0" fontId="5" fillId="9" borderId="1" applyAlignment="1" pivotButton="0" quotePrefix="0" xfId="0">
      <alignment horizontal="right"/>
    </xf>
    <xf numFmtId="0" fontId="15" fillId="9" borderId="1" applyAlignment="1" pivotButton="0" quotePrefix="0" xfId="0">
      <alignment horizontal="right"/>
    </xf>
    <xf numFmtId="0" fontId="8" fillId="8" borderId="1" applyAlignment="1" pivotButton="0" quotePrefix="0" xfId="0">
      <alignment horizontal="left" indent="1"/>
    </xf>
    <xf numFmtId="0" fontId="8" fillId="8" borderId="1" applyAlignment="1" pivotButton="0" quotePrefix="0" xfId="0">
      <alignment horizontal="right"/>
    </xf>
    <xf numFmtId="0" fontId="13" fillId="8" borderId="1" applyAlignment="1" pivotButton="0" quotePrefix="0" xfId="0">
      <alignment horizontal="right"/>
    </xf>
    <xf numFmtId="0" fontId="5" fillId="10" borderId="1" applyAlignment="1" pivotButton="0" quotePrefix="0" xfId="0">
      <alignment horizontal="left" indent="1"/>
    </xf>
    <xf numFmtId="0" fontId="5" fillId="10" borderId="1" applyAlignment="1" pivotButton="0" quotePrefix="0" xfId="0">
      <alignment horizontal="right"/>
    </xf>
    <xf numFmtId="0" fontId="15" fillId="10" borderId="1" applyAlignment="1" pivotButton="0" quotePrefix="0" xfId="0">
      <alignment horizontal="right"/>
    </xf>
    <xf numFmtId="0" fontId="15" fillId="5" borderId="1" applyAlignment="1" pivotButton="0" quotePrefix="0" xfId="0">
      <alignment horizontal="right"/>
    </xf>
    <xf numFmtId="0" fontId="15" fillId="6" borderId="1" applyAlignment="1" pivotButton="0" quotePrefix="0" xfId="0">
      <alignment horizontal="right"/>
    </xf>
    <xf numFmtId="0" fontId="16" fillId="6" borderId="1" applyAlignment="1" pivotButton="0" quotePrefix="0" xfId="0">
      <alignment horizontal="right"/>
    </xf>
    <xf numFmtId="0" fontId="16" fillId="5" borderId="1" applyAlignment="1" pivotButton="0" quotePrefix="0" xfId="0">
      <alignment horizontal="right"/>
    </xf>
    <xf numFmtId="0" fontId="7" fillId="3" borderId="0" pivotButton="0" quotePrefix="0" xfId="0"/>
    <xf numFmtId="9" fontId="5" fillId="6" borderId="1" applyAlignment="1" pivotButton="0" quotePrefix="0" xfId="0">
      <alignment horizontal="right"/>
    </xf>
    <xf numFmtId="9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right"/>
    </xf>
    <xf numFmtId="165" fontId="3" fillId="2" borderId="1" applyAlignment="1" pivotButton="0" quotePrefix="0" xfId="0">
      <alignment horizontal="right"/>
    </xf>
    <xf numFmtId="0" fontId="17" fillId="8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MBC GROUP — DCF VALUATION MODEL</t>
        </is>
      </c>
    </row>
    <row r="2" ht="18" customHeight="1">
      <c r="A2" s="2" t="inlineStr">
        <is>
          <t>Currency: SAR millions | Priced as of April 21, 2026</t>
        </is>
      </c>
    </row>
    <row r="4" ht="20" customHeight="1">
      <c r="A4" s="3" t="inlineStr">
        <is>
          <t>KEY ASSUMPTIONS</t>
        </is>
      </c>
    </row>
    <row r="5">
      <c r="A5" s="4" t="inlineStr">
        <is>
          <t>Input cells (blue) can be adjusted by user</t>
        </is>
      </c>
    </row>
    <row r="6">
      <c r="A6" s="5" t="inlineStr">
        <is>
          <t>WACC (Base case)</t>
        </is>
      </c>
      <c r="B6" s="6" t="n">
        <v>0.1</v>
      </c>
    </row>
    <row r="7">
      <c r="A7" s="5" t="inlineStr">
        <is>
          <t>WACC (Bear)</t>
        </is>
      </c>
      <c r="B7" s="6" t="n">
        <v>0.12</v>
      </c>
    </row>
    <row r="8">
      <c r="A8" s="5" t="inlineStr">
        <is>
          <t>WACC (Bull)</t>
        </is>
      </c>
      <c r="B8" s="6" t="n">
        <v>0.08</v>
      </c>
    </row>
    <row r="9">
      <c r="A9" s="5" t="inlineStr">
        <is>
          <t>Terminal growth rate</t>
        </is>
      </c>
      <c r="B9" s="6" t="n">
        <v>0.045</v>
      </c>
    </row>
    <row r="10">
      <c r="A10" s="5" t="inlineStr">
        <is>
          <t>Risk-free rate</t>
        </is>
      </c>
      <c r="B10" s="6" t="n">
        <v>0.0475</v>
      </c>
    </row>
    <row r="11">
      <c r="A11" s="5" t="inlineStr">
        <is>
          <t>Equity risk premium</t>
        </is>
      </c>
      <c r="B11" s="6" t="n">
        <v>0.055</v>
      </c>
    </row>
    <row r="12">
      <c r="A12" s="5" t="inlineStr">
        <is>
          <t>Effective tax rate</t>
        </is>
      </c>
      <c r="B12" s="6" t="n">
        <v>0.2</v>
      </c>
    </row>
    <row r="13">
      <c r="A13" s="5" t="inlineStr">
        <is>
          <t>CapEx % of revenue</t>
        </is>
      </c>
      <c r="B13" s="6" t="n">
        <v>0.041</v>
      </c>
    </row>
    <row r="14">
      <c r="A14" s="5" t="inlineStr">
        <is>
          <t>D&amp;A % of revenue</t>
        </is>
      </c>
      <c r="B14" s="6" t="n">
        <v>0.023</v>
      </c>
    </row>
    <row r="16" ht="20" customHeight="1">
      <c r="A16" s="3" t="inlineStr">
        <is>
          <t>REVENUE BUILD</t>
        </is>
      </c>
    </row>
    <row r="17">
      <c r="A17" s="7" t="inlineStr"/>
      <c r="B17" s="7" t="inlineStr">
        <is>
          <t>FY2025</t>
        </is>
      </c>
      <c r="C17" s="7" t="inlineStr">
        <is>
          <t>FY2026E</t>
        </is>
      </c>
      <c r="D17" s="7" t="inlineStr">
        <is>
          <t>FY2027E</t>
        </is>
      </c>
      <c r="E17" s="7" t="inlineStr">
        <is>
          <t>FY2028E</t>
        </is>
      </c>
      <c r="F17" s="7" t="inlineStr">
        <is>
          <t>FY2029E</t>
        </is>
      </c>
      <c r="G17" s="7" t="inlineStr">
        <is>
          <t>FY2030E</t>
        </is>
      </c>
    </row>
    <row r="18">
      <c r="A18" s="8" t="inlineStr">
        <is>
          <t>Revenue (SAR M)</t>
        </is>
      </c>
      <c r="B18" s="9" t="n">
        <v>5379.3</v>
      </c>
      <c r="C18" s="9" t="n">
        <v>5515.8</v>
      </c>
      <c r="D18" s="9" t="n">
        <v>6087.6</v>
      </c>
      <c r="E18" s="9" t="n">
        <v>6696.4</v>
      </c>
      <c r="F18" s="9" t="n">
        <v>7232.1</v>
      </c>
      <c r="G18" s="9" t="n">
        <v>7694.2</v>
      </c>
    </row>
    <row r="19">
      <c r="A19" s="8" t="inlineStr">
        <is>
          <t>YoY Growth %</t>
        </is>
      </c>
      <c r="B19" s="10" t="n">
        <v>0.285</v>
      </c>
      <c r="C19" s="10" t="n">
        <v>0.023</v>
      </c>
      <c r="D19" s="10" t="n">
        <v>0.104</v>
      </c>
      <c r="E19" s="10" t="n">
        <v>0.1</v>
      </c>
      <c r="F19" s="10" t="n">
        <v>0.08</v>
      </c>
      <c r="G19" s="10" t="n">
        <v>0.064</v>
      </c>
    </row>
    <row r="22">
      <c r="A22" s="3" t="inlineStr">
        <is>
          <t>EBITDA &amp; FREE CASH FLOW BUILD</t>
        </is>
      </c>
    </row>
    <row r="23">
      <c r="A23" s="5" t="inlineStr">
        <is>
          <t>EBITDA Margin %</t>
        </is>
      </c>
      <c r="B23" s="11" t="n">
        <v>0.05</v>
      </c>
      <c r="C23" s="11" t="n">
        <v>0.126</v>
      </c>
      <c r="D23" s="11" t="n">
        <v>0.153</v>
      </c>
      <c r="E23" s="11" t="n">
        <v>0.16</v>
      </c>
      <c r="F23" s="11" t="n">
        <v>0.17</v>
      </c>
      <c r="G23" s="11" t="n">
        <v>0.18</v>
      </c>
    </row>
    <row r="24">
      <c r="A24" s="12" t="inlineStr">
        <is>
          <t>EBITDA (SAR M)</t>
        </is>
      </c>
      <c r="B24" s="13">
        <f>B24*B25</f>
        <v/>
      </c>
      <c r="C24" s="13">
        <f>C24*C25</f>
        <v/>
      </c>
      <c r="D24" s="13">
        <f>D24*D25</f>
        <v/>
      </c>
      <c r="E24" s="13">
        <f>E24*E25</f>
        <v/>
      </c>
      <c r="F24" s="13">
        <f>F24*F25</f>
        <v/>
      </c>
      <c r="G24" s="13">
        <f>G24*G25</f>
        <v/>
      </c>
    </row>
    <row r="25">
      <c r="A25" s="5" t="inlineStr">
        <is>
          <t>D&amp;A (SAR M)</t>
        </is>
      </c>
      <c r="B25" s="14">
        <f>B24*0.023</f>
        <v/>
      </c>
      <c r="C25" s="14">
        <f>C24*0.023</f>
        <v/>
      </c>
      <c r="D25" s="14">
        <f>D24*0.023</f>
        <v/>
      </c>
      <c r="E25" s="14">
        <f>E24*0.023</f>
        <v/>
      </c>
      <c r="F25" s="14">
        <f>F24*0.023</f>
        <v/>
      </c>
      <c r="G25" s="14">
        <f>G24*0.023</f>
        <v/>
      </c>
    </row>
    <row r="26">
      <c r="A26" s="5" t="inlineStr">
        <is>
          <t>CapEx (SAR M)</t>
        </is>
      </c>
      <c r="B26" s="14">
        <f>B24*0.041</f>
        <v/>
      </c>
      <c r="C26" s="14">
        <f>C24*0.041</f>
        <v/>
      </c>
      <c r="D26" s="14">
        <f>D24*0.041</f>
        <v/>
      </c>
      <c r="E26" s="14">
        <f>E24*0.041</f>
        <v/>
      </c>
      <c r="F26" s="14">
        <f>F24*0.041</f>
        <v/>
      </c>
      <c r="G26" s="14">
        <f>G24*0.041</f>
        <v/>
      </c>
    </row>
    <row r="27">
      <c r="A27" s="5" t="inlineStr">
        <is>
          <t>Cash Taxes (SAR M)</t>
        </is>
      </c>
      <c r="B27" s="14">
        <f>(B24-B26)*0.20</f>
        <v/>
      </c>
      <c r="C27" s="14">
        <f>(C24-C26)*0.20</f>
        <v/>
      </c>
      <c r="D27" s="14">
        <f>(D24-D26)*0.20</f>
        <v/>
      </c>
      <c r="E27" s="14">
        <f>(E24-E26)*0.20</f>
        <v/>
      </c>
      <c r="F27" s="14">
        <f>(F24-F26)*0.20</f>
        <v/>
      </c>
      <c r="G27" s="14">
        <f>(G24-G26)*0.20</f>
        <v/>
      </c>
    </row>
    <row r="28">
      <c r="A28" s="12" t="inlineStr">
        <is>
          <t>FCFF (SAR M)</t>
        </is>
      </c>
      <c r="B28" s="13">
        <f>B25-B27-B28</f>
        <v/>
      </c>
      <c r="C28" s="13">
        <f>C25-C27-C28</f>
        <v/>
      </c>
      <c r="D28" s="13">
        <f>D25-D27-D28</f>
        <v/>
      </c>
      <c r="E28" s="13">
        <f>E25-E27-E28</f>
        <v/>
      </c>
      <c r="F28" s="13">
        <f>F25-F27-F28</f>
        <v/>
      </c>
      <c r="G28" s="13">
        <f>G25-G27-G28</f>
        <v/>
      </c>
    </row>
    <row r="29">
      <c r="A29" s="5" t="inlineStr">
        <is>
          <t>FCF Margin %</t>
        </is>
      </c>
      <c r="B29" s="11">
        <f>B29/B24</f>
        <v/>
      </c>
      <c r="C29" s="11">
        <f>C29/C24</f>
        <v/>
      </c>
      <c r="D29" s="11">
        <f>D29/D24</f>
        <v/>
      </c>
      <c r="E29" s="11">
        <f>E29/E24</f>
        <v/>
      </c>
      <c r="F29" s="11">
        <f>F29/F24</f>
        <v/>
      </c>
      <c r="G29" s="11">
        <f>G29/G24</f>
        <v/>
      </c>
    </row>
    <row r="31">
      <c r="A31" s="3" t="inlineStr">
        <is>
          <t>TERMINAL VALUE</t>
        </is>
      </c>
    </row>
    <row r="32">
      <c r="A32" s="5" t="inlineStr">
        <is>
          <t>Terminal FCFF (FY2030)</t>
        </is>
      </c>
      <c r="B32" s="9">
        <f>F39</f>
        <v/>
      </c>
    </row>
    <row r="33">
      <c r="A33" s="5" t="inlineStr">
        <is>
          <t>Terminal growth rate</t>
        </is>
      </c>
      <c r="B33" s="9">
        <f>B10</f>
        <v/>
      </c>
    </row>
    <row r="34">
      <c r="A34" s="5" t="inlineStr">
        <is>
          <t>WACC (Base)</t>
        </is>
      </c>
      <c r="B34" s="9">
        <f>B6</f>
        <v/>
      </c>
    </row>
    <row r="35">
      <c r="A35" s="12" t="inlineStr">
        <is>
          <t>Terminal Value</t>
        </is>
      </c>
      <c r="B35" s="15">
        <f>B43*(1+B44)/(B45-B44)</f>
        <v/>
      </c>
    </row>
    <row r="36">
      <c r="A36" s="12" t="inlineStr">
        <is>
          <t>PV of Terminal Value</t>
        </is>
      </c>
      <c r="B36" s="15">
        <f>B46/(1+B45)^5</f>
        <v/>
      </c>
    </row>
    <row r="38">
      <c r="A38" s="3" t="inlineStr">
        <is>
          <t>EQUITY VALUE BRIDGE</t>
        </is>
      </c>
    </row>
    <row r="39">
      <c r="A39" s="5" t="inlineStr">
        <is>
          <t>PV of FCFF (FY2026–30)</t>
        </is>
      </c>
      <c r="B39" s="9">
        <f>SUM(B36:F36)</f>
        <v/>
      </c>
    </row>
    <row r="40">
      <c r="A40" s="5" t="inlineStr">
        <is>
          <t>PV of Terminal Value</t>
        </is>
      </c>
      <c r="B40" s="9">
        <f>B47</f>
        <v/>
      </c>
    </row>
    <row r="41">
      <c r="A41" s="12" t="inlineStr">
        <is>
          <t>Enterprise Value (SAR M)</t>
        </is>
      </c>
      <c r="B41" s="15">
        <f>B49+B50</f>
        <v/>
      </c>
    </row>
    <row r="42">
      <c r="A42" s="5" t="inlineStr">
        <is>
          <t>+ Cash &amp; ST Investments</t>
        </is>
      </c>
      <c r="B42" s="9" t="n">
        <v>1352.3</v>
      </c>
    </row>
    <row r="43">
      <c r="A43" s="5" t="inlineStr">
        <is>
          <t>− Total Debt</t>
        </is>
      </c>
      <c r="B43" s="9" t="n">
        <v>-121.2</v>
      </c>
    </row>
    <row r="44">
      <c r="A44" s="5" t="inlineStr">
        <is>
          <t>− Minority Interest</t>
        </is>
      </c>
      <c r="B44" s="9" t="n">
        <v>-70</v>
      </c>
    </row>
    <row r="45">
      <c r="A45" s="12" t="inlineStr">
        <is>
          <t>Equity Value (SAR M)</t>
        </is>
      </c>
      <c r="B45" s="15">
        <f>B51+B52+B53+B54</f>
        <v/>
      </c>
    </row>
    <row r="46">
      <c r="A46" s="5" t="inlineStr">
        <is>
          <t>Shares Outstanding (M)</t>
        </is>
      </c>
      <c r="B46" s="9" t="n">
        <v>332.5</v>
      </c>
    </row>
    <row r="47">
      <c r="A47" s="5" t="inlineStr">
        <is>
          <t>Implied Share Price (SAR)</t>
        </is>
      </c>
      <c r="B47" s="9">
        <f>B56/B58</f>
        <v/>
      </c>
    </row>
    <row r="48">
      <c r="A48" s="12" t="inlineStr">
        <is>
          <t>Current Market Price</t>
        </is>
      </c>
      <c r="B48" s="15" t="n">
        <v>26.26</v>
      </c>
    </row>
    <row r="49">
      <c r="A49" s="5" t="inlineStr">
        <is>
          <t>Upside to Market %</t>
        </is>
      </c>
      <c r="B49" s="10">
        <f>(B59-B60)/B60</f>
        <v/>
      </c>
    </row>
    <row r="51" ht="20" customHeight="1">
      <c r="A51" s="3" t="inlineStr">
        <is>
          <t>SHARE PRICE SENSITIVITY: WACC vs. TERMINAL GROWTH</t>
        </is>
      </c>
    </row>
    <row r="52">
      <c r="A52" s="16" t="inlineStr">
        <is>
          <t>Terminal g →</t>
        </is>
      </c>
      <c r="B52" s="16" t="inlineStr">
        <is>
          <t>3.5%</t>
        </is>
      </c>
      <c r="C52" s="16" t="inlineStr">
        <is>
          <t>4.0%</t>
        </is>
      </c>
      <c r="D52" s="16" t="inlineStr">
        <is>
          <t>4.5%</t>
        </is>
      </c>
      <c r="E52" s="16" t="inlineStr">
        <is>
          <t>5.0%</t>
        </is>
      </c>
    </row>
    <row r="53">
      <c r="A53" s="17" t="inlineStr">
        <is>
          <t>WACC 8%</t>
        </is>
      </c>
      <c r="B53" s="18" t="n">
        <v>54.7</v>
      </c>
      <c r="C53" s="18" t="n">
        <v>60.4</v>
      </c>
      <c r="D53" s="18" t="n">
        <v>67.7</v>
      </c>
      <c r="E53" s="18" t="n">
        <v>77.40000000000001</v>
      </c>
    </row>
    <row r="54">
      <c r="A54" s="17" t="inlineStr">
        <is>
          <t>WACC 9%</t>
        </is>
      </c>
      <c r="B54" s="18" t="n">
        <v>45.2</v>
      </c>
      <c r="C54" s="18" t="n">
        <v>48.8</v>
      </c>
      <c r="D54" s="18" t="n">
        <v>53.2</v>
      </c>
      <c r="E54" s="18" t="n">
        <v>58.6</v>
      </c>
    </row>
    <row r="55">
      <c r="A55" s="17" t="inlineStr">
        <is>
          <t>WACC 10%</t>
        </is>
      </c>
      <c r="B55" s="18" t="n">
        <v>38.7</v>
      </c>
      <c r="C55" s="18" t="n">
        <v>41.1</v>
      </c>
      <c r="D55" s="19" t="n">
        <v>44</v>
      </c>
      <c r="E55" s="18" t="n">
        <v>47.5</v>
      </c>
    </row>
    <row r="56">
      <c r="A56" s="17" t="inlineStr">
        <is>
          <t>WACC 11%</t>
        </is>
      </c>
      <c r="B56" s="18" t="n">
        <v>34</v>
      </c>
      <c r="C56" s="18" t="n">
        <v>35.7</v>
      </c>
      <c r="D56" s="18" t="n">
        <v>37.7</v>
      </c>
      <c r="E56" s="18" t="n">
        <v>40.1</v>
      </c>
    </row>
    <row r="57">
      <c r="A57" s="17" t="inlineStr">
        <is>
          <t>WACC 12%</t>
        </is>
      </c>
      <c r="B57" s="18" t="n">
        <v>30.4</v>
      </c>
      <c r="C57" s="18" t="n">
        <v>31.7</v>
      </c>
      <c r="D57" s="18" t="n">
        <v>33.2</v>
      </c>
      <c r="E57" s="18" t="n">
        <v>34.9</v>
      </c>
    </row>
  </sheetData>
  <mergeCells count="9">
    <mergeCell ref="A1:G1"/>
    <mergeCell ref="B5:G5"/>
    <mergeCell ref="A31:G31"/>
    <mergeCell ref="A22:G22"/>
    <mergeCell ref="A4:G4"/>
    <mergeCell ref="A38:G38"/>
    <mergeCell ref="A16:G16"/>
    <mergeCell ref="A2:G2"/>
    <mergeCell ref="A51: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MBC GROUP — COMPARABLE COMPANIES ANALYSIS</t>
        </is>
      </c>
    </row>
    <row r="3">
      <c r="A3" s="3" t="inlineStr">
        <is>
          <t>PEER GROUP</t>
        </is>
      </c>
    </row>
    <row r="4">
      <c r="A4" s="20" t="inlineStr">
        <is>
          <t>Company</t>
        </is>
      </c>
      <c r="B4" s="20" t="inlineStr">
        <is>
          <t>Ticker</t>
        </is>
      </c>
      <c r="C4" s="20" t="inlineStr">
        <is>
          <t>Market Cap</t>
        </is>
      </c>
      <c r="D4" s="20" t="inlineStr">
        <is>
          <t>EV/EBITDA</t>
        </is>
      </c>
      <c r="E4" s="20" t="inlineStr">
        <is>
          <t>EV/Revenue</t>
        </is>
      </c>
    </row>
    <row r="5">
      <c r="A5" s="21" t="inlineStr">
        <is>
          <t>Netflix</t>
        </is>
      </c>
      <c r="B5" s="22" t="inlineStr">
        <is>
          <t>NFLX</t>
        </is>
      </c>
      <c r="C5" s="22" t="inlineStr">
        <is>
          <t>$393B</t>
        </is>
      </c>
      <c r="D5" s="22" t="inlineStr">
        <is>
          <t>26.3x</t>
        </is>
      </c>
      <c r="E5" s="22" t="inlineStr">
        <is>
          <t>8.4x</t>
        </is>
      </c>
    </row>
    <row r="6">
      <c r="A6" s="21" t="inlineStr">
        <is>
          <t>Disney</t>
        </is>
      </c>
      <c r="B6" s="22" t="inlineStr">
        <is>
          <t>DIS</t>
        </is>
      </c>
      <c r="C6" s="22" t="inlineStr">
        <is>
          <t>$220B</t>
        </is>
      </c>
      <c r="D6" s="22" t="inlineStr">
        <is>
          <t>20.0x</t>
        </is>
      </c>
      <c r="E6" s="22" t="inlineStr">
        <is>
          <t>2.6x</t>
        </is>
      </c>
    </row>
    <row r="7">
      <c r="A7" s="21" t="inlineStr">
        <is>
          <t>Warner Bros Disc.</t>
        </is>
      </c>
      <c r="B7" s="22" t="inlineStr">
        <is>
          <t>WBD</t>
        </is>
      </c>
      <c r="C7" s="22" t="inlineStr">
        <is>
          <t>—</t>
        </is>
      </c>
      <c r="D7" s="22" t="inlineStr">
        <is>
          <t>3.1x</t>
        </is>
      </c>
      <c r="E7" s="22" t="inlineStr">
        <is>
          <t>2.6x</t>
        </is>
      </c>
    </row>
    <row r="8">
      <c r="A8" s="21" t="inlineStr">
        <is>
          <t>Paramount (deal)</t>
        </is>
      </c>
      <c r="B8" s="22" t="inlineStr">
        <is>
          <t>PARA</t>
        </is>
      </c>
      <c r="C8" s="22" t="inlineStr">
        <is>
          <t>—</t>
        </is>
      </c>
      <c r="D8" s="22" t="inlineStr">
        <is>
          <t>7.5x</t>
        </is>
      </c>
      <c r="E8" s="22" t="inlineStr">
        <is>
          <t>2.5x</t>
        </is>
      </c>
    </row>
    <row r="9">
      <c r="A9" s="23" t="inlineStr">
        <is>
          <t>MBC (subject)</t>
        </is>
      </c>
      <c r="B9" s="24" t="inlineStr">
        <is>
          <t>4072</t>
        </is>
      </c>
      <c r="C9" s="24" t="inlineStr">
        <is>
          <t>SAR 8.8B</t>
        </is>
      </c>
      <c r="D9" s="24" t="inlineStr">
        <is>
          <t>11.1x</t>
        </is>
      </c>
      <c r="E9" s="24" t="inlineStr">
        <is>
          <t>1.4x</t>
        </is>
      </c>
    </row>
    <row r="12">
      <c r="A12" s="3" t="inlineStr">
        <is>
          <t>MULTIPLES APPLIED TO MBC (NTM EBITDA: SAR 692.8M)</t>
        </is>
      </c>
    </row>
    <row r="13">
      <c r="A13" s="20" t="inlineStr">
        <is>
          <t>Multiple</t>
        </is>
      </c>
      <c r="B13" s="20" t="inlineStr">
        <is>
          <t>Applied</t>
        </is>
      </c>
      <c r="C13" s="20" t="inlineStr">
        <is>
          <t>Implied EV</t>
        </is>
      </c>
      <c r="D13" s="20" t="inlineStr">
        <is>
          <t>Equity Value</t>
        </is>
      </c>
      <c r="E13" s="20" t="inlineStr">
        <is>
          <t>Share Price</t>
        </is>
      </c>
      <c r="F13" s="20" t="inlineStr">
        <is>
          <t>vs Market</t>
        </is>
      </c>
    </row>
    <row r="14">
      <c r="A14" s="25" t="inlineStr">
        <is>
          <t>Netflix 26x</t>
        </is>
      </c>
      <c r="B14" s="26" t="n">
        <v>26.3</v>
      </c>
      <c r="C14" s="26" t="inlineStr">
        <is>
          <t>18,220</t>
        </is>
      </c>
      <c r="D14" s="26" t="inlineStr">
        <is>
          <t>19,451</t>
        </is>
      </c>
      <c r="E14" s="26" t="inlineStr">
        <is>
          <t>SAR 58.5</t>
        </is>
      </c>
      <c r="F14" s="27" t="inlineStr">
        <is>
          <t>+123%</t>
        </is>
      </c>
    </row>
    <row r="15">
      <c r="A15" s="21" t="inlineStr">
        <is>
          <t>Disney 20x</t>
        </is>
      </c>
      <c r="B15" s="28" t="n">
        <v>20</v>
      </c>
      <c r="C15" s="28" t="inlineStr">
        <is>
          <t>13,856</t>
        </is>
      </c>
      <c r="D15" s="28" t="inlineStr">
        <is>
          <t>15,087</t>
        </is>
      </c>
      <c r="E15" s="28" t="inlineStr">
        <is>
          <t>SAR 45.4</t>
        </is>
      </c>
      <c r="F15" s="29" t="inlineStr">
        <is>
          <t>+73%</t>
        </is>
      </c>
    </row>
    <row r="16">
      <c r="A16" s="25" t="inlineStr">
        <is>
          <t>Blended 15x</t>
        </is>
      </c>
      <c r="B16" s="26" t="n">
        <v>15</v>
      </c>
      <c r="C16" s="26" t="inlineStr">
        <is>
          <t>10,392</t>
        </is>
      </c>
      <c r="D16" s="26" t="inlineStr">
        <is>
          <t>11,623</t>
        </is>
      </c>
      <c r="E16" s="26" t="inlineStr">
        <is>
          <t>SAR 35.0</t>
        </is>
      </c>
      <c r="F16" s="27" t="inlineStr">
        <is>
          <t>+33%</t>
        </is>
      </c>
    </row>
    <row r="17">
      <c r="A17" s="21" t="inlineStr">
        <is>
          <t>Blended 12x</t>
        </is>
      </c>
      <c r="B17" s="28" t="n">
        <v>12</v>
      </c>
      <c r="C17" s="28" t="inlineStr">
        <is>
          <t xml:space="preserve"> 8,314</t>
        </is>
      </c>
      <c r="D17" s="28" t="inlineStr">
        <is>
          <t xml:space="preserve"> 9,545</t>
        </is>
      </c>
      <c r="E17" s="28" t="inlineStr">
        <is>
          <t>SAR 28.7</t>
        </is>
      </c>
      <c r="F17" s="29" t="inlineStr">
        <is>
          <t>+9%</t>
        </is>
      </c>
    </row>
    <row r="18">
      <c r="A18" s="25" t="inlineStr">
        <is>
          <t>Paramount 7.5x</t>
        </is>
      </c>
      <c r="B18" s="26" t="n">
        <v>7.5</v>
      </c>
      <c r="C18" s="26" t="inlineStr">
        <is>
          <t xml:space="preserve"> 5,196</t>
        </is>
      </c>
      <c r="D18" s="26" t="inlineStr">
        <is>
          <t xml:space="preserve"> 5,427</t>
        </is>
      </c>
      <c r="E18" s="26" t="inlineStr">
        <is>
          <t>SAR 16.3</t>
        </is>
      </c>
      <c r="F18" s="30" t="inlineStr">
        <is>
          <t>-38%</t>
        </is>
      </c>
    </row>
    <row r="19">
      <c r="A19" s="21" t="inlineStr">
        <is>
          <t>WBD Distressed 3x</t>
        </is>
      </c>
      <c r="B19" s="28" t="n">
        <v>3.1</v>
      </c>
      <c r="C19" s="28" t="inlineStr">
        <is>
          <t xml:space="preserve"> 2,148</t>
        </is>
      </c>
      <c r="D19" s="28" t="inlineStr">
        <is>
          <t xml:space="preserve">   917</t>
        </is>
      </c>
      <c r="E19" s="28" t="inlineStr">
        <is>
          <t>SAR  2.8</t>
        </is>
      </c>
      <c r="F19" s="31" t="inlineStr">
        <is>
          <t>-89%</t>
        </is>
      </c>
    </row>
    <row r="21">
      <c r="A21" s="3" t="inlineStr">
        <is>
          <t>REVENUE MULTIPLE CROSS-CHECK (MBC NTM Revenue: SAR 5,515.8M)</t>
        </is>
      </c>
    </row>
    <row r="22">
      <c r="A22" s="20" t="inlineStr">
        <is>
          <t>Peer</t>
        </is>
      </c>
      <c r="B22" s="20" t="inlineStr">
        <is>
          <t>EV/Rev</t>
        </is>
      </c>
      <c r="C22" s="20" t="inlineStr">
        <is>
          <t>Implied EV</t>
        </is>
      </c>
      <c r="D22" s="20" t="inlineStr">
        <is>
          <t>Share Price</t>
        </is>
      </c>
      <c r="E22" s="20" t="inlineStr">
        <is>
          <t>Note</t>
        </is>
      </c>
    </row>
    <row r="23">
      <c r="A23" s="25" t="inlineStr">
        <is>
          <t>Netflix 8.4x</t>
        </is>
      </c>
      <c r="B23" s="26" t="n">
        <v>8.4</v>
      </c>
      <c r="C23" s="26" t="inlineStr">
        <is>
          <t>46,334</t>
        </is>
      </c>
      <c r="D23" s="26" t="inlineStr">
        <is>
          <t>SAR 143</t>
        </is>
      </c>
      <c r="E23" s="32" t="inlineStr">
        <is>
          <t>Too high — NFLX not comparable</t>
        </is>
      </c>
    </row>
    <row r="24">
      <c r="A24" s="21" t="inlineStr">
        <is>
          <t>Disney 2.6x</t>
        </is>
      </c>
      <c r="B24" s="28" t="n">
        <v>2.6</v>
      </c>
      <c r="C24" s="28" t="inlineStr">
        <is>
          <t>14,341</t>
        </is>
      </c>
      <c r="D24" s="28" t="inlineStr">
        <is>
          <t>SAR 46.8</t>
        </is>
      </c>
      <c r="E24" s="33" t="inlineStr">
        <is>
          <t>Reasonable for blended media</t>
        </is>
      </c>
    </row>
    <row r="25">
      <c r="A25" s="25" t="inlineStr">
        <is>
          <t>WBD 2.6x</t>
        </is>
      </c>
      <c r="B25" s="26" t="n">
        <v>2.6</v>
      </c>
      <c r="C25" s="26" t="inlineStr">
        <is>
          <t>14,341</t>
        </is>
      </c>
      <c r="D25" s="26" t="inlineStr">
        <is>
          <t>SAR 46.8</t>
        </is>
      </c>
      <c r="E25" s="32" t="inlineStr">
        <is>
          <t>Same as Disney</t>
        </is>
      </c>
    </row>
    <row r="26">
      <c r="A26" s="21" t="inlineStr">
        <is>
          <t>MBC current 1.4x</t>
        </is>
      </c>
      <c r="B26" s="28" t="n">
        <v>1.4</v>
      </c>
      <c r="C26" s="28" t="inlineStr">
        <is>
          <t xml:space="preserve"> 7,868</t>
        </is>
      </c>
      <c r="D26" s="28" t="inlineStr">
        <is>
          <t>—</t>
        </is>
      </c>
      <c r="E26" s="33" t="inlineStr">
        <is>
          <t>Matches current EV</t>
        </is>
      </c>
    </row>
  </sheetData>
  <mergeCells count="4">
    <mergeCell ref="A21:E21"/>
    <mergeCell ref="A1:E1"/>
    <mergeCell ref="A12:E1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30" customHeight="1">
      <c r="A1" s="1" t="inlineStr">
        <is>
          <t>MBC GROUP — SUM-OF-PARTS VALUATION</t>
        </is>
      </c>
    </row>
    <row r="3">
      <c r="A3" s="3" t="inlineStr">
        <is>
          <t>SEGMENT 1: BOCA (BROADCAST)</t>
        </is>
      </c>
    </row>
    <row r="4">
      <c r="A4" s="5" t="inlineStr">
        <is>
          <t>Analog: Regional/global TV broadcasters</t>
        </is>
      </c>
    </row>
    <row r="5">
      <c r="A5" s="5" t="inlineStr">
        <is>
          <t>Best peer: Sinclair Broadcast Group (SBGI)</t>
        </is>
      </c>
    </row>
    <row r="6">
      <c r="A6" s="5" t="inlineStr">
        <is>
          <t>Chosen range: 9–12x EBITDA</t>
        </is>
      </c>
    </row>
    <row r="7">
      <c r="A7" s="20" t="inlineStr"/>
      <c r="B7" s="20" t="inlineStr">
        <is>
          <t>Bear (9x)</t>
        </is>
      </c>
      <c r="C7" s="20" t="inlineStr">
        <is>
          <t>Base (10.5x)</t>
        </is>
      </c>
      <c r="D7" s="20" t="inlineStr">
        <is>
          <t>Bull (12x)</t>
        </is>
      </c>
    </row>
    <row r="8">
      <c r="A8" s="5" t="inlineStr">
        <is>
          <t>FY2026E Revenue (SAR M)</t>
        </is>
      </c>
      <c r="B8" s="34" t="n">
        <v>3200</v>
      </c>
      <c r="C8" s="34" t="n">
        <v>3200</v>
      </c>
      <c r="D8" s="34" t="n">
        <v>3200</v>
      </c>
    </row>
    <row r="9">
      <c r="A9" s="5" t="inlineStr">
        <is>
          <t>EBITDA Margin</t>
        </is>
      </c>
      <c r="B9" s="10" t="n">
        <v>0.2</v>
      </c>
      <c r="C9" s="10" t="n">
        <v>0.22</v>
      </c>
      <c r="D9" s="10" t="n">
        <v>0.24</v>
      </c>
    </row>
    <row r="10">
      <c r="A10" s="5" t="inlineStr">
        <is>
          <t>EBITDA (SAR M)</t>
        </is>
      </c>
      <c r="B10" s="26">
        <f>B8*B9</f>
        <v/>
      </c>
      <c r="C10" s="26">
        <f>C8*C9</f>
        <v/>
      </c>
      <c r="D10" s="26">
        <f>D8*D9</f>
        <v/>
      </c>
    </row>
    <row r="12">
      <c r="A12" s="5" t="inlineStr">
        <is>
          <t>EV/EBITDA multiple → EV</t>
        </is>
      </c>
      <c r="B12" s="35">
        <f>B9*9</f>
        <v/>
      </c>
      <c r="C12" s="35">
        <f>C9*10.5</f>
        <v/>
      </c>
      <c r="D12" s="35">
        <f>D9*12</f>
        <v/>
      </c>
    </row>
    <row r="14">
      <c r="A14" s="5" t="inlineStr">
        <is>
          <t>Less: Net debt allocated (54%)</t>
        </is>
      </c>
      <c r="B14" s="34" t="n">
        <v>-665</v>
      </c>
      <c r="C14" s="34" t="n">
        <v>-665</v>
      </c>
      <c r="D14" s="34" t="n">
        <v>-665</v>
      </c>
    </row>
    <row r="16">
      <c r="A16" s="12" t="inlineStr">
        <is>
          <t>BOCA Equity (SAR M)</t>
        </is>
      </c>
      <c r="B16" s="36">
        <f>B12+B14</f>
        <v/>
      </c>
      <c r="C16" s="36">
        <f>C12+C14</f>
        <v/>
      </c>
      <c r="D16" s="36">
        <f>D12+D14</f>
        <v/>
      </c>
    </row>
    <row r="19">
      <c r="A19" s="3" t="inlineStr">
        <is>
          <t>SEGMENT 2: SHAHID (STREAMING)</t>
        </is>
      </c>
    </row>
    <row r="20">
      <c r="A20" s="5" t="inlineStr">
        <is>
          <t>Method: EV/Revenue (not yet EBITDA positive)</t>
        </is>
      </c>
    </row>
    <row r="21">
      <c r="A21" s="5" t="inlineStr">
        <is>
          <t>Best analog: Netflix (8.4x), Disney (2.6x) — MENA discount applies</t>
        </is>
      </c>
    </row>
    <row r="22">
      <c r="A22" s="20" t="inlineStr"/>
      <c r="B22" s="20" t="inlineStr">
        <is>
          <t>Bear (3x)</t>
        </is>
      </c>
      <c r="C22" s="20" t="inlineStr">
        <is>
          <t>Base (5x)</t>
        </is>
      </c>
      <c r="D22" s="20" t="inlineStr">
        <is>
          <t>Bull (8x)</t>
        </is>
      </c>
    </row>
    <row r="23">
      <c r="A23" s="5" t="inlineStr">
        <is>
          <t>NTM Revenue (SAR M)</t>
        </is>
      </c>
      <c r="B23" s="34" t="n">
        <v>1650</v>
      </c>
      <c r="C23" s="34" t="n">
        <v>1650</v>
      </c>
      <c r="D23" s="34" t="n">
        <v>1650</v>
      </c>
    </row>
    <row r="24">
      <c r="A24" s="5" t="inlineStr">
        <is>
          <t>EV/Revenue multiple</t>
        </is>
      </c>
      <c r="B24" s="10" t="n">
        <v>0.03</v>
      </c>
      <c r="C24" s="10" t="n">
        <v>0.05</v>
      </c>
      <c r="D24" s="10" t="n">
        <v>0.08</v>
      </c>
    </row>
    <row r="25">
      <c r="A25" s="5" t="inlineStr">
        <is>
          <t>Shahid EV (SAR M)</t>
        </is>
      </c>
      <c r="B25" s="26">
        <f>B23*B24</f>
        <v/>
      </c>
      <c r="C25" s="26">
        <f>C23*C24</f>
        <v/>
      </c>
      <c r="D25" s="26">
        <f>D23*D24</f>
        <v/>
      </c>
    </row>
    <row r="27">
      <c r="A27" s="5" t="inlineStr">
        <is>
          <t>Less: Net debt allocated (23%)</t>
        </is>
      </c>
      <c r="B27" s="34" t="n">
        <v>-283</v>
      </c>
      <c r="C27" s="34" t="n">
        <v>-283</v>
      </c>
      <c r="D27" s="34" t="n">
        <v>-283</v>
      </c>
    </row>
    <row r="29">
      <c r="A29" s="12" t="inlineStr">
        <is>
          <t>Shahid Equity (SAR M)</t>
        </is>
      </c>
      <c r="B29" s="36">
        <f>B25+B27</f>
        <v/>
      </c>
      <c r="C29" s="36">
        <f>C25+C27</f>
        <v/>
      </c>
      <c r="D29" s="36">
        <f>D25+D27</f>
        <v/>
      </c>
    </row>
    <row r="32">
      <c r="A32" s="3" t="inlineStr">
        <is>
          <t>SEGMENT 3: M&amp;E (MEDIA &amp; EVENTS)</t>
        </is>
      </c>
    </row>
    <row r="33">
      <c r="A33" s="5" t="inlineStr">
        <is>
          <t>Best analog: Live Nation (events), production peers</t>
        </is>
      </c>
    </row>
    <row r="34">
      <c r="A34" s="20" t="inlineStr"/>
      <c r="B34" s="20" t="inlineStr">
        <is>
          <t>Bear (8x)</t>
        </is>
      </c>
      <c r="C34" s="20" t="inlineStr">
        <is>
          <t>Base (10x)</t>
        </is>
      </c>
      <c r="D34" s="20" t="inlineStr">
        <is>
          <t>Bull (12x)</t>
        </is>
      </c>
    </row>
    <row r="35">
      <c r="A35" s="5" t="inlineStr">
        <is>
          <t>NTM Revenue (SAR M)</t>
        </is>
      </c>
      <c r="B35" s="34" t="n">
        <v>1400</v>
      </c>
      <c r="C35" s="34" t="n">
        <v>1400</v>
      </c>
      <c r="D35" s="34" t="n">
        <v>1400</v>
      </c>
    </row>
    <row r="36">
      <c r="A36" s="5" t="inlineStr">
        <is>
          <t>EBITDA Margin</t>
        </is>
      </c>
      <c r="B36" s="10" t="n">
        <v>0.04</v>
      </c>
      <c r="C36" s="10" t="n">
        <v>0.05</v>
      </c>
      <c r="D36" s="10" t="n">
        <v>0.06</v>
      </c>
    </row>
    <row r="37">
      <c r="A37" s="5" t="inlineStr">
        <is>
          <t>EBITDA (SAR M)</t>
        </is>
      </c>
      <c r="B37" s="26">
        <f>B35*B36</f>
        <v/>
      </c>
      <c r="C37" s="26">
        <f>C35*C36</f>
        <v/>
      </c>
      <c r="D37" s="26">
        <f>D35*D36</f>
        <v/>
      </c>
    </row>
    <row r="39">
      <c r="A39" s="5" t="inlineStr">
        <is>
          <t>EV/EBITDA multiple → EV</t>
        </is>
      </c>
      <c r="B39" s="35">
        <f>B36*8</f>
        <v/>
      </c>
      <c r="C39" s="35">
        <f>C36*10</f>
        <v/>
      </c>
      <c r="D39" s="35">
        <f>D36*12</f>
        <v/>
      </c>
    </row>
    <row r="41">
      <c r="A41" s="5" t="inlineStr">
        <is>
          <t>Less: Net debt allocated (23%)</t>
        </is>
      </c>
      <c r="B41" s="34" t="n">
        <v>-283</v>
      </c>
      <c r="C41" s="34" t="n">
        <v>-283</v>
      </c>
      <c r="D41" s="34" t="n">
        <v>-283</v>
      </c>
    </row>
    <row r="43">
      <c r="A43" s="12" t="inlineStr">
        <is>
          <t>M&amp;E Equity (SAR M)</t>
        </is>
      </c>
      <c r="B43" s="36">
        <f>B39+B41</f>
        <v/>
      </c>
      <c r="C43" s="36">
        <f>C39+C41</f>
        <v/>
      </c>
      <c r="D43" s="36">
        <f>D39+D41</f>
        <v/>
      </c>
    </row>
    <row r="46">
      <c r="A46" s="3" t="inlineStr">
        <is>
          <t>SOTP SUMMARY</t>
        </is>
      </c>
    </row>
    <row r="47">
      <c r="A47" s="16" t="inlineStr"/>
      <c r="B47" s="16" t="inlineStr">
        <is>
          <t>Bear</t>
        </is>
      </c>
      <c r="C47" s="16" t="inlineStr">
        <is>
          <t>Base</t>
        </is>
      </c>
      <c r="D47" s="16" t="inlineStr">
        <is>
          <t>Bull</t>
        </is>
      </c>
    </row>
    <row r="48">
      <c r="A48" s="5" t="inlineStr">
        <is>
          <t>BOCA Equity</t>
        </is>
      </c>
      <c r="B48" s="34" t="n">
        <v>6245</v>
      </c>
      <c r="C48" s="34" t="n">
        <v>8057</v>
      </c>
      <c r="D48" s="34" t="n">
        <v>10169</v>
      </c>
    </row>
    <row r="49">
      <c r="A49" s="5" t="inlineStr">
        <is>
          <t>Shahid Equity</t>
        </is>
      </c>
      <c r="B49" s="34" t="n">
        <v>4217</v>
      </c>
      <c r="C49" s="34" t="n">
        <v>7967</v>
      </c>
      <c r="D49" s="34" t="n">
        <v>14117</v>
      </c>
    </row>
    <row r="50">
      <c r="A50" s="5" t="inlineStr">
        <is>
          <t>M&amp;E Equity</t>
        </is>
      </c>
      <c r="B50" s="34" t="n">
        <v>149</v>
      </c>
      <c r="C50" s="34" t="n">
        <v>417</v>
      </c>
      <c r="D50" s="34" t="n">
        <v>761</v>
      </c>
    </row>
    <row r="51">
      <c r="A51" s="12" t="inlineStr">
        <is>
          <t>Total Equity (SAR M)</t>
        </is>
      </c>
      <c r="B51" s="37">
        <f>SUM(B48:B50)</f>
        <v/>
      </c>
      <c r="C51" s="37">
        <f>SUM(C48:C50)</f>
        <v/>
      </c>
      <c r="D51" s="37">
        <f>SUM(D48:D50)</f>
        <v/>
      </c>
    </row>
    <row r="52">
      <c r="A52" s="5" t="inlineStr">
        <is>
          <t>Shares Outstanding (M)</t>
        </is>
      </c>
      <c r="B52" s="34" t="n">
        <v>332.5</v>
      </c>
      <c r="C52" s="34" t="n">
        <v>332.5</v>
      </c>
      <c r="D52" s="34" t="n">
        <v>332.5</v>
      </c>
    </row>
    <row r="53">
      <c r="A53" s="5" t="inlineStr">
        <is>
          <t>Implied Share Price (SAR)</t>
        </is>
      </c>
      <c r="B53" s="15">
        <f>B51/B52</f>
        <v/>
      </c>
      <c r="C53" s="15">
        <f>C51/C52</f>
        <v/>
      </c>
      <c r="D53" s="15">
        <f>D51/D52</f>
        <v/>
      </c>
    </row>
    <row r="54">
      <c r="A54" s="5" t="inlineStr">
        <is>
          <t>Current Market Price</t>
        </is>
      </c>
      <c r="B54" s="10" t="n">
        <v>26.26</v>
      </c>
      <c r="C54" s="10" t="n">
        <v>26.26</v>
      </c>
      <c r="D54" s="10" t="n">
        <v>26.26</v>
      </c>
    </row>
    <row r="55">
      <c r="A55" s="5" t="inlineStr">
        <is>
          <t>Upside to Market</t>
        </is>
      </c>
      <c r="B55" s="38">
        <f>(B53-B54)/B54</f>
        <v/>
      </c>
      <c r="C55" s="38">
        <f>(C53-C54)/C54</f>
        <v/>
      </c>
      <c r="D55" s="38">
        <f>(D53-D54)/D54</f>
        <v/>
      </c>
    </row>
  </sheetData>
  <mergeCells count="5">
    <mergeCell ref="A19:E19"/>
    <mergeCell ref="A1:E1"/>
    <mergeCell ref="A46:E46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MBC GROUP — VALUATION SUMMARY</t>
        </is>
      </c>
    </row>
    <row r="2">
      <c r="A2" s="2" t="inlineStr">
        <is>
          <t>4072.SR | Tadawul | As of April 21, 2026 | SAR millions</t>
        </is>
      </c>
    </row>
    <row r="4">
      <c r="A4" s="3" t="inlineStr">
        <is>
          <t>VALUATION OUTPUTS — ALL METHODS</t>
        </is>
      </c>
    </row>
    <row r="5">
      <c r="A5" s="20" t="inlineStr">
        <is>
          <t>Method</t>
        </is>
      </c>
      <c r="B5" s="20" t="inlineStr">
        <is>
          <t>Share Price (SAR)</t>
        </is>
      </c>
      <c r="C5" s="20" t="inlineStr">
        <is>
          <t>vs. Market</t>
        </is>
      </c>
      <c r="D5" s="20" t="inlineStr">
        <is>
          <t>Note</t>
        </is>
      </c>
    </row>
    <row r="6">
      <c r="A6" s="39" t="inlineStr">
        <is>
          <t>DCF — Bear (WACC 12%, g 4.5%)</t>
        </is>
      </c>
      <c r="B6" s="40" t="n">
        <v>37.7</v>
      </c>
      <c r="C6" s="41" t="inlineStr">
        <is>
          <t>+43.6%</t>
        </is>
      </c>
      <c r="D6" s="40" t="inlineStr">
        <is>
          <t>HIGH RISK</t>
        </is>
      </c>
    </row>
    <row r="7">
      <c r="A7" s="42" t="inlineStr">
        <is>
          <t>DCF — Base (WACC 10%, g 4.5%)</t>
        </is>
      </c>
      <c r="B7" s="43" t="n">
        <v>48.8</v>
      </c>
      <c r="C7" s="44" t="inlineStr">
        <is>
          <t>+85.8%</t>
        </is>
      </c>
      <c r="D7" s="43" t="inlineStr">
        <is>
          <t>BASE CASE</t>
        </is>
      </c>
    </row>
    <row r="8">
      <c r="A8" s="45" t="inlineStr">
        <is>
          <t>DCF — Bull (WACC 8%, g 4.5%)</t>
        </is>
      </c>
      <c r="B8" s="46" t="n">
        <v>112.4</v>
      </c>
      <c r="C8" s="47" t="inlineStr">
        <is>
          <t>+328%</t>
        </is>
      </c>
      <c r="D8" s="46" t="inlineStr">
        <is>
          <t>OPTIMISTIC</t>
        </is>
      </c>
    </row>
    <row r="9">
      <c r="A9" s="21" t="inlineStr">
        <is>
          <t>Comps — Netflix multiple (26x)</t>
        </is>
      </c>
      <c r="B9" s="28" t="n">
        <v>58.5</v>
      </c>
      <c r="C9" s="48" t="inlineStr">
        <is>
          <t>+123%</t>
        </is>
      </c>
      <c r="D9" s="28" t="inlineStr">
        <is>
          <t>STRETCH</t>
        </is>
      </c>
    </row>
    <row r="10">
      <c r="A10" s="25" t="inlineStr">
        <is>
          <t>Comps — Blended 15x NTM EBITDA</t>
        </is>
      </c>
      <c r="B10" s="26" t="n">
        <v>35</v>
      </c>
      <c r="C10" s="49" t="inlineStr">
        <is>
          <t>+33%</t>
        </is>
      </c>
      <c r="D10" s="26" t="inlineStr">
        <is>
          <t>CONSERVATIVE</t>
        </is>
      </c>
    </row>
    <row r="11">
      <c r="A11" s="21" t="inlineStr">
        <is>
          <t>Comps — Blended 12x NTM EBITDA</t>
        </is>
      </c>
      <c r="B11" s="28" t="n">
        <v>28.7</v>
      </c>
      <c r="C11" s="48" t="inlineStr">
        <is>
          <t>+9%</t>
        </is>
      </c>
      <c r="D11" s="28" t="inlineStr">
        <is>
          <t>BEARISH</t>
        </is>
      </c>
    </row>
    <row r="12">
      <c r="A12" s="25" t="inlineStr">
        <is>
          <t>Comps — Disney/WBD rev 2.6x</t>
        </is>
      </c>
      <c r="B12" s="26" t="n">
        <v>46.8</v>
      </c>
      <c r="C12" s="49" t="inlineStr">
        <is>
          <t>+78%</t>
        </is>
      </c>
      <c r="D12" s="26" t="inlineStr">
        <is>
          <t>CORE PEER</t>
        </is>
      </c>
    </row>
    <row r="13">
      <c r="A13" s="39" t="inlineStr">
        <is>
          <t>SOTP — Bear (BOCA 9x / Shahid 3x)</t>
        </is>
      </c>
      <c r="B13" s="40" t="n">
        <v>31.9</v>
      </c>
      <c r="C13" s="41" t="inlineStr">
        <is>
          <t>+21%</t>
        </is>
      </c>
      <c r="D13" s="40" t="inlineStr">
        <is>
          <t>BEAR</t>
        </is>
      </c>
    </row>
    <row r="14">
      <c r="A14" s="42" t="inlineStr">
        <is>
          <t>SOTP — Base (BOCA 10.5x / Shahid 5x)</t>
        </is>
      </c>
      <c r="B14" s="43" t="n">
        <v>49.4</v>
      </c>
      <c r="C14" s="44" t="inlineStr">
        <is>
          <t>+88%</t>
        </is>
      </c>
      <c r="D14" s="43" t="inlineStr">
        <is>
          <t>BASE CASE</t>
        </is>
      </c>
    </row>
    <row r="15">
      <c r="A15" s="45" t="inlineStr">
        <is>
          <t>SOTP — Bull (BOCA 12x / Shahid 8x)</t>
        </is>
      </c>
      <c r="B15" s="46" t="n">
        <v>75.3</v>
      </c>
      <c r="C15" s="47" t="inlineStr">
        <is>
          <t>+187%</t>
        </is>
      </c>
      <c r="D15" s="46" t="inlineStr">
        <is>
          <t>BULL</t>
        </is>
      </c>
    </row>
    <row r="16">
      <c r="A16" s="25" t="inlineStr">
        <is>
          <t>Paramount Precedent (7.5x)</t>
        </is>
      </c>
      <c r="B16" s="26" t="n">
        <v>16.3</v>
      </c>
      <c r="C16" s="50" t="inlineStr">
        <is>
          <t>-38%</t>
        </is>
      </c>
      <c r="D16" s="26" t="inlineStr">
        <is>
          <t>FLOOR</t>
        </is>
      </c>
    </row>
    <row r="17">
      <c r="A17" s="21" t="inlineStr">
        <is>
          <t>WBD Distressed (3x)</t>
        </is>
      </c>
      <c r="B17" s="28" t="n">
        <v>2.8</v>
      </c>
      <c r="C17" s="51" t="inlineStr">
        <is>
          <t>-89%</t>
        </is>
      </c>
      <c r="D17" s="28" t="inlineStr">
        <is>
          <t>DISTRESSED</t>
        </is>
      </c>
    </row>
    <row r="20" ht="20" customHeight="1">
      <c r="A20" s="3" t="inlineStr">
        <is>
          <t>BLENDED CENTRAL ESTIMATE</t>
        </is>
      </c>
    </row>
    <row r="21">
      <c r="A21" s="52" t="inlineStr">
        <is>
          <t>Method</t>
        </is>
      </c>
      <c r="B21" s="7" t="inlineStr">
        <is>
          <t>Weight</t>
        </is>
      </c>
      <c r="C21" s="7" t="inlineStr">
        <is>
          <t>Price</t>
        </is>
      </c>
      <c r="D21" s="7" t="inlineStr">
        <is>
          <t>Weighted</t>
        </is>
      </c>
    </row>
    <row r="22">
      <c r="A22" s="25" t="inlineStr">
        <is>
          <t>DCF Base Case</t>
        </is>
      </c>
      <c r="B22" s="53" t="n">
        <v>0.35</v>
      </c>
      <c r="C22" s="9" t="n">
        <v>48.8</v>
      </c>
      <c r="D22" s="9" t="n">
        <v>17.1</v>
      </c>
    </row>
    <row r="23">
      <c r="A23" s="21" t="inlineStr">
        <is>
          <t>SOTP Base Case</t>
        </is>
      </c>
      <c r="B23" s="54" t="n">
        <v>0.35</v>
      </c>
      <c r="C23" s="55" t="n">
        <v>49.4</v>
      </c>
      <c r="D23" s="55" t="n">
        <v>17.3</v>
      </c>
    </row>
    <row r="24">
      <c r="A24" s="25" t="inlineStr">
        <is>
          <t>Comparable Companies</t>
        </is>
      </c>
      <c r="B24" s="53" t="n">
        <v>0.2</v>
      </c>
      <c r="C24" s="9" t="n">
        <v>35</v>
      </c>
      <c r="D24" s="9" t="n">
        <v>7</v>
      </c>
    </row>
    <row r="25">
      <c r="A25" s="21" t="inlineStr">
        <is>
          <t>Paramount Precedent</t>
        </is>
      </c>
      <c r="B25" s="54" t="n">
        <v>0.1</v>
      </c>
      <c r="C25" s="55" t="n">
        <v>16.3</v>
      </c>
      <c r="D25" s="55" t="n">
        <v>1.6</v>
      </c>
    </row>
    <row r="26">
      <c r="A26" s="56" t="inlineStr">
        <is>
          <t>Blended Central Estimate</t>
        </is>
      </c>
      <c r="B26" s="57" t="n"/>
      <c r="C26" s="57" t="n"/>
      <c r="D26" s="58" t="n">
        <v>43</v>
      </c>
    </row>
    <row r="28" ht="28" customHeight="1">
      <c r="A28" s="59" t="inlineStr">
        <is>
          <t>INVESTMENT RATING: BUY  |  TARGET RANGE: SAR 42–52  |  CENTRAL TARGET: SAR 43  |  CURRENT: SAR 26.26  |  UPSIDE: 64%</t>
        </is>
      </c>
    </row>
    <row r="30" ht="36" customHeight="1">
      <c r="A30" s="60" t="inlineStr">
        <is>
          <t>Note: MBC listed Jan 2024. Only ~2 years of public trading history — no reliable beta. WACC is estimated, not market-derived. DCF and SOTP convergence at SAR 48–50 is meaningful but both methods share streaming margin expansion assumptions. Primary risk: Shahid trajectory.</t>
        </is>
      </c>
    </row>
  </sheetData>
  <mergeCells count="6">
    <mergeCell ref="A30:E30"/>
    <mergeCell ref="A4:E4"/>
    <mergeCell ref="A20:E20"/>
    <mergeCell ref="A2:E2"/>
    <mergeCell ref="A28:E2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2026-04-23T17:32:11Z</dcterms:created>
  <dcterms:modified xmlns:dcterms="http://purl.org/dc/terms/" xmlns:xsi="http://www.w3.org/2001/XMLSchema-instance" xsi:type="dcterms:W3CDTF">2026-04-23T17:32:11Z</dcterms:modified>
</cp:coreProperties>
</file>